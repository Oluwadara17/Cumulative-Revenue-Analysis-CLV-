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\Documents\"/>
    </mc:Choice>
  </mc:AlternateContent>
  <xr:revisionPtr revIDLastSave="0" documentId="13_ncr:1_{63BC713D-1BF2-4BE1-A723-0E2B2A7E4F74}" xr6:coauthVersionLast="47" xr6:coauthVersionMax="47" xr10:uidLastSave="{00000000-0000-0000-0000-000000000000}"/>
  <bookViews>
    <workbookView xWindow="-120" yWindow="-120" windowWidth="20730" windowHeight="11760" xr2:uid="{2CF9149E-6165-4861-86B3-B3520D7D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37" i="1"/>
  <c r="L37" i="1"/>
  <c r="K37" i="1"/>
  <c r="J37" i="1"/>
  <c r="I37" i="1"/>
  <c r="H37" i="1"/>
  <c r="G37" i="1"/>
  <c r="F37" i="1"/>
  <c r="E37" i="1"/>
  <c r="D37" i="1"/>
  <c r="C37" i="1"/>
  <c r="C18" i="1"/>
  <c r="D18" i="1"/>
  <c r="E18" i="1"/>
  <c r="F18" i="1"/>
  <c r="G18" i="1"/>
  <c r="H18" i="1"/>
  <c r="I18" i="1"/>
  <c r="J18" i="1"/>
  <c r="K18" i="1"/>
  <c r="L18" i="1"/>
  <c r="M18" i="1"/>
  <c r="N18" i="1"/>
  <c r="B18" i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M45" i="1" s="1"/>
  <c r="C26" i="1"/>
  <c r="D26" i="1" s="1"/>
  <c r="E26" i="1" s="1"/>
  <c r="F26" i="1" s="1"/>
  <c r="G26" i="1" s="1"/>
  <c r="H26" i="1" s="1"/>
  <c r="I26" i="1" s="1"/>
  <c r="J26" i="1" s="1"/>
  <c r="K26" i="1" s="1"/>
  <c r="L26" i="1" s="1"/>
  <c r="L46" i="1" s="1"/>
  <c r="C27" i="1"/>
  <c r="D27" i="1" s="1"/>
  <c r="E27" i="1" s="1"/>
  <c r="F27" i="1" s="1"/>
  <c r="G27" i="1" s="1"/>
  <c r="H27" i="1" s="1"/>
  <c r="I27" i="1" s="1"/>
  <c r="J27" i="1" s="1"/>
  <c r="K27" i="1" s="1"/>
  <c r="K47" i="1" s="1"/>
  <c r="C28" i="1"/>
  <c r="D28" i="1" s="1"/>
  <c r="E28" i="1" s="1"/>
  <c r="F28" i="1" s="1"/>
  <c r="G28" i="1" s="1"/>
  <c r="H28" i="1" s="1"/>
  <c r="I28" i="1" s="1"/>
  <c r="J28" i="1" s="1"/>
  <c r="J48" i="1" s="1"/>
  <c r="C29" i="1"/>
  <c r="D29" i="1" s="1"/>
  <c r="E29" i="1" s="1"/>
  <c r="F29" i="1" s="1"/>
  <c r="G29" i="1" s="1"/>
  <c r="H29" i="1" s="1"/>
  <c r="I29" i="1" s="1"/>
  <c r="I49" i="1" s="1"/>
  <c r="C30" i="1"/>
  <c r="D30" i="1" s="1"/>
  <c r="E30" i="1" s="1"/>
  <c r="F30" i="1" s="1"/>
  <c r="G30" i="1" s="1"/>
  <c r="H30" i="1" s="1"/>
  <c r="H50" i="1" s="1"/>
  <c r="C31" i="1"/>
  <c r="D31" i="1" s="1"/>
  <c r="E31" i="1" s="1"/>
  <c r="F31" i="1" s="1"/>
  <c r="G31" i="1" s="1"/>
  <c r="G51" i="1" s="1"/>
  <c r="C32" i="1"/>
  <c r="D32" i="1" s="1"/>
  <c r="E32" i="1" s="1"/>
  <c r="F32" i="1" s="1"/>
  <c r="F52" i="1" s="1"/>
  <c r="C33" i="1"/>
  <c r="D33" i="1" s="1"/>
  <c r="E33" i="1" s="1"/>
  <c r="E53" i="1" s="1"/>
  <c r="C34" i="1"/>
  <c r="D34" i="1" s="1"/>
  <c r="D54" i="1" s="1"/>
  <c r="C35" i="1"/>
  <c r="C55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N44" i="1" s="1"/>
  <c r="B37" i="1"/>
  <c r="C38" i="1" l="1"/>
  <c r="C56" i="1" s="1"/>
  <c r="G38" i="1" l="1"/>
  <c r="G52" i="1" s="1"/>
  <c r="L38" i="1"/>
  <c r="L47" i="1" s="1"/>
  <c r="J38" i="1"/>
  <c r="J49" i="1" s="1"/>
  <c r="F38" i="1"/>
  <c r="F53" i="1" s="1"/>
  <c r="G53" i="1" s="1"/>
  <c r="H38" i="1"/>
  <c r="H51" i="1" s="1"/>
  <c r="M38" i="1"/>
  <c r="M46" i="1" s="1"/>
  <c r="K38" i="1"/>
  <c r="K48" i="1" s="1"/>
  <c r="I38" i="1"/>
  <c r="I50" i="1" s="1"/>
  <c r="D38" i="1"/>
  <c r="D55" i="1" s="1"/>
  <c r="E38" i="1"/>
  <c r="E54" i="1" s="1"/>
  <c r="N38" i="1"/>
  <c r="N45" i="1" s="1"/>
  <c r="L48" i="1" l="1"/>
  <c r="M48" i="1" s="1"/>
  <c r="N48" i="1" s="1"/>
  <c r="H53" i="1"/>
  <c r="I53" i="1" s="1"/>
  <c r="J53" i="1" s="1"/>
  <c r="K53" i="1" s="1"/>
  <c r="L53" i="1" s="1"/>
  <c r="M53" i="1" s="1"/>
  <c r="N53" i="1" s="1"/>
  <c r="F54" i="1"/>
  <c r="G54" i="1" s="1"/>
  <c r="H54" i="1" s="1"/>
  <c r="I54" i="1" s="1"/>
  <c r="J54" i="1" s="1"/>
  <c r="K54" i="1" s="1"/>
  <c r="L54" i="1" s="1"/>
  <c r="M54" i="1" s="1"/>
  <c r="N54" i="1" s="1"/>
  <c r="D56" i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I51" i="1"/>
  <c r="J51" i="1" s="1"/>
  <c r="K51" i="1" s="1"/>
  <c r="L51" i="1" s="1"/>
  <c r="M51" i="1" s="1"/>
  <c r="N51" i="1" s="1"/>
  <c r="M47" i="1"/>
  <c r="N47" i="1" s="1"/>
  <c r="K49" i="1"/>
  <c r="L49" i="1" s="1"/>
  <c r="M49" i="1" s="1"/>
  <c r="N49" i="1" s="1"/>
  <c r="N46" i="1"/>
  <c r="J50" i="1"/>
  <c r="K50" i="1" s="1"/>
  <c r="L50" i="1" s="1"/>
  <c r="M50" i="1" s="1"/>
  <c r="N50" i="1" s="1"/>
  <c r="H52" i="1"/>
  <c r="I52" i="1" s="1"/>
  <c r="J52" i="1" s="1"/>
  <c r="K52" i="1" s="1"/>
  <c r="L52" i="1" s="1"/>
  <c r="M52" i="1" s="1"/>
  <c r="N52" i="1" s="1"/>
  <c r="N57" i="1" l="1"/>
</calcChain>
</file>

<file path=xl/sharedStrings.xml><?xml version="1.0" encoding="utf-8"?>
<sst xmlns="http://schemas.openxmlformats.org/spreadsheetml/2006/main" count="49" uniqueCount="21">
  <si>
    <t>cohort_week</t>
  </si>
  <si>
    <t>Week0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</si>
  <si>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</si>
  <si>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</si>
  <si>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</si>
  <si>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</si>
  <si>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</si>
  <si>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</si>
  <si>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</si>
  <si>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</si>
  <si>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</si>
  <si>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</si>
  <si>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</si>
  <si>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</si>
  <si>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Average</t>
  </si>
  <si>
    <t>Grand total</t>
  </si>
  <si>
    <t>Cumulative growth %</t>
  </si>
  <si>
    <t>Weekly Average Revenue by Cohorts (USD)</t>
  </si>
  <si>
    <t>Cumulative Revenue by Cohorts (USD)</t>
  </si>
  <si>
    <t>Revenue Prediction by Cohorts (USD)</t>
  </si>
  <si>
    <t>All weekly cohorts average revenue in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</si>
</sst>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8">
    <dxf>
      <numFmt numFmtId="165" formatCode="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4" formatCode="&quot;$&quot;#,##0.0000"/>
    </dxf>
    <dxf>
      <numFmt numFmtId="165" formatCode="0.0000"/>
    </dxf>
    <dxf>
      <numFmt numFmtId="164" formatCode="&quot;$&quot;#,##0.0000"/>
    </dxf>
    <dxf>
      <numFmt numFmtId="165" formatCode="0.0000"/>
    </dxf>
    <dxf>
      <numFmt numFmtId="164" formatCode="&quot;$&quot;#,##0.0000"/>
    </dxf>
    <dxf>
      <numFmt numFmtId="19" formatCode="m/d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485775</xdr:colOff>
      <xdr:row>0</xdr:row>
      <xdr:rowOff>161924</xdr:rowOff>
    </xdr:from>
    <xdr:to>
      <xdr:col>20</xdr:col>
      <xdr:colOff>542925</xdr:colOff>
      <xdr:row>16</xdr:row>
      <xdr:rowOff>171449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BE0F81-EFDC-601D-E951-306DE6D88319}"/>
            </a:ext>
          </a:extLst>
        </xdr:cNvPr>
        <xdr:cNvSpPr txBox="1"/>
      </xdr:nvSpPr>
      <xdr:spPr>
        <a:xfrm>
          <a:off x="12668250" y="161924"/>
          <a:ext cx="3800475" cy="3057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b="1"/>
            <a:t>Key Findings</a:t>
          </a:r>
        </a:p>
        <a:p>
          <a:endParaRPr lang="en-US"/>
        </a:p>
        <a:p>
          <a:r>
            <a:rPr lang="en-US"/>
            <a:t>The cohort analysis provided a more granular view of user behavior and </a:t>
          </a:r>
          <a:r>
            <a:rPr lang="en-US" b="1"/>
            <a:t>revenue generation</a:t>
          </a:r>
          <a:r>
            <a:rPr lang="en-US"/>
            <a:t> over time, giving a clearer picture of </a:t>
          </a:r>
          <a:r>
            <a:rPr lang="en-US" b="1"/>
            <a:t>customer lifetime value (CLV)</a:t>
          </a:r>
          <a:r>
            <a:rPr lang="en-US"/>
            <a:t>.</a:t>
          </a:r>
        </a:p>
        <a:p>
          <a:endParaRPr lang="en-US"/>
        </a:p>
        <a:p>
          <a:r>
            <a:rPr lang="en-US" b="1"/>
            <a:t>1) Weekly average revenue per cohort</a:t>
          </a:r>
          <a:r>
            <a:rPr lang="en-US"/>
            <a:t> shows how revenue grows (or declines) over the first 12 weeks after a user registers.</a:t>
          </a:r>
        </a:p>
        <a:p>
          <a:r>
            <a:rPr lang="en-US" b="1"/>
            <a:t>2)</a:t>
          </a:r>
          <a:r>
            <a:rPr lang="en-US" b="1" baseline="0"/>
            <a:t> C</a:t>
          </a:r>
          <a:r>
            <a:rPr lang="en-US" b="1"/>
            <a:t>umulative revenue</a:t>
          </a:r>
          <a:r>
            <a:rPr lang="en-US"/>
            <a:t> over time demonstrates that early engagement and subsequent repeat visits significantly impact the total revenue per user.</a:t>
          </a:r>
        </a:p>
        <a:p>
          <a:r>
            <a:rPr lang="en-US" b="1"/>
            <a:t>3) Predictive modeling</a:t>
          </a:r>
          <a:r>
            <a:rPr lang="en-US"/>
            <a:t> based on historical cohort data allows us to estimate future revenue, even for cohorts whose data is incomplete (e.g., new customers with only the first week of data).</a:t>
          </a:r>
        </a:p>
        <a:p>
          <a:endParaRPr lang="en-US"/>
        </a:p>
      </xdr:txBody>
    </xdr:sp>
    <xdr:clientData/>
  </xdr:twoCellAnchor>
  <xdr:oneCellAnchor>
    <xdr:from>
      <xdr:col>14</xdr:col>
      <xdr:colOff>495300</xdr:colOff>
      <xdr:row>18</xdr:row>
      <xdr:rowOff>19050</xdr:rowOff>
    </xdr:from>
    <xdr:ext cx="3876675" cy="612026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D71F8D-CBDD-177B-E390-52EF7C188BF7}"/>
            </a:ext>
          </a:extLst>
        </xdr:cNvPr>
        <xdr:cNvSpPr txBox="1"/>
      </xdr:nvSpPr>
      <xdr:spPr>
        <a:xfrm>
          <a:off x="12677775" y="3448050"/>
          <a:ext cx="3876675" cy="6120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Weekly Average Revenue by Cohorts</a:t>
          </a:r>
        </a:p>
        <a:p>
          <a:r>
            <a:rPr lang="en-US" b="1" baseline="0"/>
            <a:t>  </a:t>
          </a:r>
          <a:r>
            <a:rPr lang="en-US" b="1"/>
            <a:t>Findings:</a:t>
          </a:r>
          <a:endParaRPr lang="en-US" b="0"/>
        </a:p>
        <a:p>
          <a:r>
            <a:rPr lang="en-US"/>
            <a:t>The </a:t>
          </a:r>
          <a:r>
            <a:rPr lang="en-US" b="1"/>
            <a:t>average revenue per user</a:t>
          </a:r>
          <a:r>
            <a:rPr lang="en-US"/>
            <a:t> for each cohort varies significantly across the weeks, which indicates how customer behavior changes after their first registration. </a:t>
          </a:r>
        </a:p>
        <a:p>
          <a:r>
            <a:rPr lang="en-US" b="1"/>
            <a:t>Cohort retention</a:t>
          </a:r>
          <a:r>
            <a:rPr lang="en-US"/>
            <a:t> seems to be lower for users who registered later in the period, suggesting a possible issue with </a:t>
          </a:r>
          <a:r>
            <a:rPr lang="en-US" b="1"/>
            <a:t>user engagement or content relevance</a:t>
          </a:r>
          <a:r>
            <a:rPr lang="en-US"/>
            <a:t> after their initial visit.</a:t>
          </a:r>
        </a:p>
        <a:p>
          <a:endParaRPr lang="en-US"/>
        </a:p>
        <a:p>
          <a:r>
            <a:rPr lang="en-US" b="1"/>
            <a:t>Cumulative Revenue by Cohorts</a:t>
          </a:r>
        </a:p>
        <a:p>
          <a:r>
            <a:rPr lang="en-US" b="1"/>
            <a:t>Findings:</a:t>
          </a:r>
          <a:endParaRPr lang="en-US" b="0"/>
        </a:p>
        <a:p>
          <a:r>
            <a:rPr lang="en-US"/>
            <a:t>As users continue to engage, </a:t>
          </a:r>
          <a:r>
            <a:rPr lang="en-US" b="1"/>
            <a:t>cumulative revenue</a:t>
          </a:r>
          <a:r>
            <a:rPr lang="en-US"/>
            <a:t> increases, but the </a:t>
          </a:r>
          <a:r>
            <a:rPr lang="en-US" b="1"/>
            <a:t>growth rate</a:t>
          </a:r>
          <a:r>
            <a:rPr lang="en-US"/>
            <a:t> starts to plateau for certain cohorts after the 6th week.</a:t>
          </a:r>
        </a:p>
        <a:p>
          <a:r>
            <a:rPr lang="en-US"/>
            <a:t>Cohorts that had high engagement in their first few weeks show better </a:t>
          </a:r>
          <a:r>
            <a:rPr lang="en-US" b="1"/>
            <a:t>long-term value</a:t>
          </a:r>
          <a:r>
            <a:rPr lang="en-US"/>
            <a:t> (higher cumulative revenue per user).</a:t>
          </a:r>
        </a:p>
        <a:p>
          <a:r>
            <a:rPr lang="en-US"/>
            <a:t>Some cohorts that were acquired later in the period show a </a:t>
          </a:r>
          <a:r>
            <a:rPr lang="en-US" b="1"/>
            <a:t>slower revenue growth</a:t>
          </a:r>
          <a:r>
            <a:rPr lang="en-US"/>
            <a:t>, which could indicate that newer users are not as engaged or don’t generate as much revenue as earlier cohorts.</a:t>
          </a:r>
        </a:p>
        <a:p>
          <a:endParaRPr lang="en-US"/>
        </a:p>
        <a:p>
          <a:endParaRPr lang="en-US"/>
        </a:p>
        <a:p>
          <a:r>
            <a:rPr lang="en-US" b="1"/>
            <a:t>Revenue Prediction by Cohorts (Up to 12 Weeks)</a:t>
          </a:r>
        </a:p>
        <a:p>
          <a:r>
            <a:rPr lang="en-US" b="1"/>
            <a:t>Findings:</a:t>
          </a:r>
          <a:endParaRPr lang="en-US" b="0"/>
        </a:p>
        <a:p>
          <a:r>
            <a:rPr lang="en-US"/>
            <a:t>Based on past cohorts, we can </a:t>
          </a:r>
          <a:r>
            <a:rPr lang="en-US" b="1"/>
            <a:t>predict future revenue</a:t>
          </a:r>
          <a:r>
            <a:rPr lang="en-US"/>
            <a:t> with a high degree of confidence, which helps in forecasting CLV.</a:t>
          </a:r>
        </a:p>
        <a:p>
          <a:r>
            <a:rPr lang="en-US"/>
            <a:t>Cohorts with strong </a:t>
          </a:r>
          <a:r>
            <a:rPr lang="en-US" b="1"/>
            <a:t>initial engagement</a:t>
          </a:r>
          <a:r>
            <a:rPr lang="en-US"/>
            <a:t> show more significant </a:t>
          </a:r>
          <a:r>
            <a:rPr lang="en-US" b="1"/>
            <a:t>projected growth</a:t>
          </a:r>
          <a:r>
            <a:rPr lang="en-US"/>
            <a:t>, while weaker cohorts have </a:t>
          </a:r>
          <a:r>
            <a:rPr lang="en-US" b="1"/>
            <a:t>lower future revenue predictions</a:t>
          </a:r>
          <a:r>
            <a:rPr lang="en-US"/>
            <a:t>.</a:t>
          </a:r>
        </a:p>
        <a:p>
          <a:r>
            <a:rPr lang="en-US" b="1"/>
            <a:t>Predicted revenue for future cohorts</a:t>
          </a:r>
          <a:r>
            <a:rPr lang="en-US"/>
            <a:t> (up to week 12) provides an estimate of CLV that is more realistic and data-driven compared to traditional CLV formulas (like Shopify’s simple model).</a:t>
          </a:r>
        </a:p>
        <a:p>
          <a:endParaRPr lang="en-US"/>
        </a:p>
        <a:p>
          <a:endParaRPr lang="en-US" sz="1100" kern="1200"/>
        </a:p>
      </xdr:txBody>
    </xdr:sp>
    <xdr:clientData/>
  </xdr:oneCellAnchor>
  <xdr:twoCellAnchor>
    <xdr:from>
      <xdr:col>14</xdr:col>
      <xdr:colOff>476250</xdr:colOff>
      <xdr:row>51</xdr:row>
      <xdr:rowOff>180975</xdr:rowOff>
    </xdr:from>
    <xdr:to>
      <xdr:col>21</xdr:col>
      <xdr:colOff>47625</xdr:colOff>
      <xdr:row>62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BE06CC-2BC1-9D1A-2D1D-6007A2B3722D}"/>
            </a:ext>
          </a:extLst>
        </xdr:cNvPr>
        <xdr:cNvSpPr txBox="1"/>
      </xdr:nvSpPr>
      <xdr:spPr>
        <a:xfrm>
          <a:off x="12658725" y="9896475"/>
          <a:ext cx="3924300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b="1"/>
            <a:t>Recommendation</a:t>
          </a:r>
        </a:p>
        <a:p>
          <a:endParaRPr lang="en-US" b="1"/>
        </a:p>
        <a:p>
          <a:r>
            <a:rPr lang="en-US" b="1"/>
            <a:t>A. Improve Early Engagement to Boost CLV:</a:t>
          </a:r>
          <a:br>
            <a:rPr lang="en-US"/>
          </a:br>
          <a:r>
            <a:rPr lang="en-US"/>
            <a:t>Focus on increasing early engagement through targeted marketing, improved onboarding, and personalized recommendations to drive higher long-term revenue.</a:t>
          </a:r>
        </a:p>
        <a:p>
          <a:r>
            <a:rPr lang="en-US" b="1"/>
            <a:t>B. Re-engage Low-Engagement Cohorts:</a:t>
          </a:r>
          <a:br>
            <a:rPr lang="en-US"/>
          </a:br>
          <a:r>
            <a:rPr lang="en-US"/>
            <a:t>Implement re-engagement campaigns such as email reminders, loyalty programs, and special offers to boost activity in cohorts with low or slow revenue growth.</a:t>
          </a:r>
        </a:p>
        <a:p>
          <a:r>
            <a:rPr lang="en-US" b="1"/>
            <a:t>C. Adjust Marketing Spend Based on Cohort Performance:</a:t>
          </a:r>
          <a:br>
            <a:rPr lang="en-US"/>
          </a:br>
          <a:r>
            <a:rPr lang="en-US"/>
            <a:t>Optimize marketing spend by reallocating resources to cohorts showing strong early engagement and high revenue potential, while reducing spend on low-value cohorts.</a:t>
          </a:r>
        </a:p>
        <a:p>
          <a:r>
            <a:rPr lang="en-US" b="1"/>
            <a:t>D. Focus on Retention for Long-Term CLV Growth:</a:t>
          </a:r>
          <a:br>
            <a:rPr lang="en-US"/>
          </a:br>
          <a:r>
            <a:rPr lang="en-US"/>
            <a:t>Prioritize user retention with strategies like offering exclusive content, personalized rewards, and a dedicated customer success team to increase long-term value.</a:t>
          </a:r>
        </a:p>
        <a:p>
          <a:r>
            <a:rPr lang="en-US" b="1"/>
            <a:t>E. Predict Future Revenue for New Cohorts:</a:t>
          </a:r>
          <a:br>
            <a:rPr lang="en-US"/>
          </a:br>
          <a:r>
            <a:rPr lang="en-US"/>
            <a:t>Leverage cohort analysis data to predict future revenue and CLV for new cohorts, applying cumulative growth percentages to forecast their potential.</a:t>
          </a:r>
        </a:p>
        <a:p>
          <a:endParaRPr lang="en-US" sz="11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0B0E6-835A-452F-B239-F9E57F4CF822}" name="Table1" displayName="Table1" ref="A2:N15" headerRowDxfId="17">
  <autoFilter ref="A2:N15" xr:uid="{1E70B0E6-835A-452F-B239-F9E57F4CF822}"/>
  <tableColumns count="14">
    <tableColumn id="1" xr3:uid="{8C1CD63D-4D7A-48D7-8C9E-B687FACDF899}" name="cohort_week" totalsRowLabel="Total" dataDxfId="16"/>
    <tableColumn id="3" xr3:uid="{F0C08C28-7EED-4BF2-9BA3-0529E021F9AD}" name="Week0" totalsRowFunction="average" dataDxfId="15" totalsRowDxfId="14"/>
    <tableColumn id="4" xr3:uid="{1A015F93-E285-4C57-9C66-EE9026987004}" name="Week1" totalsRowFunction="average" dataDxfId="13" totalsRowDxfId="12"/>
    <tableColumn id="5" xr3:uid="{153B2096-5B14-4F4A-92D4-A1DA5332860E}" name="Week2" dataDxfId="11"/>
    <tableColumn id="6" xr3:uid="{B1D918A2-9D4C-4BD5-B836-0CBF0E4F7D27}" name="Week3" dataDxfId="10"/>
    <tableColumn id="7" xr3:uid="{A9EA1320-B4E9-4732-BE84-FCFFF1BDD788}" name="Week4" dataDxfId="9"/>
    <tableColumn id="8" xr3:uid="{C0FAAE73-0F4E-4C2C-92D9-20F8E5A482C4}" name="Week5" dataDxfId="8"/>
    <tableColumn id="9" xr3:uid="{C8556F65-1C60-43E5-87FB-85AB1B5D800C}" name="Week6" dataDxfId="7"/>
    <tableColumn id="10" xr3:uid="{D1EC741B-8A9D-4120-A90E-6D14D2FBF114}" name="Week7" dataDxfId="6"/>
    <tableColumn id="11" xr3:uid="{442861E5-B8C3-4B2B-8B17-A94127CA9306}" name="Week8" dataDxfId="5"/>
    <tableColumn id="12" xr3:uid="{72D9E6FA-128A-4D7D-9BF2-010BC5C8AF55}" name="Week9" dataDxfId="4"/>
    <tableColumn id="13" xr3:uid="{AA309E73-5C90-4CB1-A5BC-1AD4635A4913}" name="Week10" dataDxfId="3"/>
    <tableColumn id="14" xr3:uid="{00A5BC51-9729-4648-8E19-349DF0033DD4}" name="Week11" dataDxfId="2"/>
    <tableColumn id="15" xr3:uid="{B3E0206C-393D-46AC-838F-BA4F989F66C0}" name="Week12" totalsRowFunction="sum" dataDxfId="1" totalsRow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1F33-1016-4BEB-B097-84EF94CE0AEE}">
  <dimension ref="A1:O57"/>
  <sheetViews>
    <sheetView showGridLines="0" tabSelected="1" topLeftCell="H1" workbookViewId="0">
      <selection activeCell="X6" sqref="X6"/>
    </sheetView>
  </sheetViews>
  <sheetFormatPr defaultRowHeight="15" x14ac:dyDescent="0.25"/>
  <cols>
    <col min="1" max="1" width="20.140625" bestFit="1" customWidth="1"/>
    <col min="2" max="2" width="13.28515625" customWidth="1"/>
    <col min="3" max="9" width="9.5703125" bestFit="1" customWidth="1"/>
    <col min="10" max="10" width="9.5703125" customWidth="1"/>
    <col min="11" max="11" width="9.5703125" bestFit="1" customWidth="1"/>
    <col min="12" max="12" width="13.28515625" customWidth="1"/>
    <col min="13" max="13" width="39.42578125" bestFit="1" customWidth="1"/>
    <col min="14" max="15" width="10.42578125" customWidth="1"/>
  </cols>
  <sheetData>
    <row r="1" spans="1:15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5" x14ac:dyDescent="0.25">
      <c r="A3" s="1">
        <v>44136</v>
      </c>
      <c r="B3" s="2">
        <v>0.93799183185576196</v>
      </c>
      <c r="C3" s="2">
        <v>0.32637712919613499</v>
      </c>
      <c r="D3" s="2">
        <v>0.26720788923199501</v>
      </c>
      <c r="E3" s="2">
        <v>0.26172925590198198</v>
      </c>
      <c r="F3" s="2">
        <v>0.15987648172128699</v>
      </c>
      <c r="G3" s="2">
        <v>0.15320251021018</v>
      </c>
      <c r="H3" s="2">
        <v>0.165305309293754</v>
      </c>
      <c r="I3" s="2">
        <v>2.50024902878772E-2</v>
      </c>
      <c r="J3" s="2">
        <v>7.8195039346548399E-3</v>
      </c>
      <c r="K3" s="2">
        <v>1.37961948401235E-2</v>
      </c>
      <c r="L3" s="2">
        <v>2.31596772586911E-2</v>
      </c>
      <c r="M3" s="2">
        <v>1.49417272636716E-2</v>
      </c>
      <c r="N3" s="2">
        <v>1.81791015041338E-2</v>
      </c>
    </row>
    <row r="4" spans="1:15" x14ac:dyDescent="0.25">
      <c r="A4" s="1">
        <v>44143</v>
      </c>
      <c r="B4" s="2">
        <v>1.1919664859536701</v>
      </c>
      <c r="C4" s="2">
        <v>0.38128388368654498</v>
      </c>
      <c r="D4" s="2">
        <v>0.28123459832429698</v>
      </c>
      <c r="E4" s="2">
        <v>0.22930014785608599</v>
      </c>
      <c r="F4" s="2">
        <v>0.27655248891079298</v>
      </c>
      <c r="G4" s="2">
        <v>0.10448496796451399</v>
      </c>
      <c r="H4" s="2">
        <v>3.9366683095120703E-2</v>
      </c>
      <c r="I4" s="2">
        <v>6.9369147363233102E-2</v>
      </c>
      <c r="J4" s="2"/>
      <c r="K4" s="2">
        <v>1.2013307047806799E-2</v>
      </c>
      <c r="L4" s="2">
        <v>3.5485460818136999E-2</v>
      </c>
      <c r="M4" s="2">
        <v>2.0515032035485398E-2</v>
      </c>
      <c r="N4" s="2"/>
    </row>
    <row r="5" spans="1:15" x14ac:dyDescent="0.25">
      <c r="A5" s="1">
        <v>44150</v>
      </c>
      <c r="B5" s="2">
        <v>1.3817315774726799</v>
      </c>
      <c r="C5" s="2">
        <v>0.29677780891005801</v>
      </c>
      <c r="D5" s="2">
        <v>0.21871672737461401</v>
      </c>
      <c r="E5" s="2">
        <v>0.227570748108713</v>
      </c>
      <c r="F5" s="2">
        <v>0.167105631829644</v>
      </c>
      <c r="G5" s="2">
        <v>2.56094144017932E-2</v>
      </c>
      <c r="H5" s="2">
        <v>2.8803586438778301E-2</v>
      </c>
      <c r="I5" s="2">
        <v>2.2022975623423899E-2</v>
      </c>
      <c r="J5" s="2">
        <v>2.0958251611095501E-2</v>
      </c>
      <c r="K5" s="2">
        <v>6.2202297562342296E-3</v>
      </c>
      <c r="L5" s="2">
        <v>4.4270103670495898E-3</v>
      </c>
      <c r="M5" s="2"/>
      <c r="N5" s="2"/>
    </row>
    <row r="6" spans="1:15" x14ac:dyDescent="0.25">
      <c r="A6" s="1">
        <v>44157</v>
      </c>
      <c r="B6" s="2">
        <v>1.6472475429036999</v>
      </c>
      <c r="C6" s="2">
        <v>0.23588124458929499</v>
      </c>
      <c r="D6" s="2">
        <v>0.225339919539644</v>
      </c>
      <c r="E6" s="2">
        <v>0.119366502011508</v>
      </c>
      <c r="F6" s="2">
        <v>3.7021948362784503E-2</v>
      </c>
      <c r="G6" s="2">
        <v>1.3240311656566601E-2</v>
      </c>
      <c r="H6" s="2">
        <v>6.4164587258746198E-3</v>
      </c>
      <c r="I6" s="2">
        <v>1.05922493252533E-2</v>
      </c>
      <c r="J6" s="2">
        <v>3.4577583133879902E-2</v>
      </c>
      <c r="K6" s="2">
        <v>3.7683963945612802E-3</v>
      </c>
      <c r="L6" s="2"/>
      <c r="M6" s="2"/>
      <c r="N6" s="2"/>
    </row>
    <row r="7" spans="1:15" x14ac:dyDescent="0.25">
      <c r="A7" s="1">
        <v>44164</v>
      </c>
      <c r="B7" s="2">
        <v>1.31940339229684</v>
      </c>
      <c r="C7" s="2">
        <v>0.36342139966349801</v>
      </c>
      <c r="D7" s="2">
        <v>0.24328134236733201</v>
      </c>
      <c r="E7" s="2">
        <v>4.8019644399981798E-2</v>
      </c>
      <c r="F7" s="2">
        <v>1.24141694329498E-2</v>
      </c>
      <c r="G7" s="2">
        <v>2.2145423127643098E-2</v>
      </c>
      <c r="H7" s="2">
        <v>6.0934018462098097E-3</v>
      </c>
      <c r="I7" s="2">
        <v>1.19594379518894E-2</v>
      </c>
      <c r="J7" s="2">
        <v>5.4113046246191598E-3</v>
      </c>
      <c r="K7" s="2"/>
      <c r="L7" s="2"/>
      <c r="M7" s="2"/>
      <c r="N7" s="2"/>
    </row>
    <row r="8" spans="1:15" x14ac:dyDescent="0.25">
      <c r="A8" s="1">
        <v>44171</v>
      </c>
      <c r="B8" s="2">
        <v>1.2025722327122399</v>
      </c>
      <c r="C8" s="2">
        <v>0.32943817022337801</v>
      </c>
      <c r="D8" s="2">
        <v>8.1477786882325695E-2</v>
      </c>
      <c r="E8" s="2">
        <v>3.44151911361288E-2</v>
      </c>
      <c r="F8" s="2">
        <v>2.08414977377177E-2</v>
      </c>
      <c r="G8" s="2">
        <v>2.6933627845666001E-2</v>
      </c>
      <c r="H8" s="2">
        <v>2.4404146923652399E-2</v>
      </c>
      <c r="I8" s="2">
        <v>2.2088424952794801E-3</v>
      </c>
      <c r="J8" s="2"/>
      <c r="K8" s="2"/>
      <c r="L8" s="2"/>
      <c r="M8" s="2"/>
      <c r="N8" s="2"/>
    </row>
    <row r="9" spans="1:15" x14ac:dyDescent="0.25">
      <c r="A9" s="1">
        <v>44178</v>
      </c>
      <c r="B9" s="2">
        <v>1.00822963463602</v>
      </c>
      <c r="C9" s="2">
        <v>0.107820140738679</v>
      </c>
      <c r="D9" s="2">
        <v>4.0233769331689997E-2</v>
      </c>
      <c r="E9" s="2">
        <v>3.02150836878304E-2</v>
      </c>
      <c r="F9" s="2">
        <v>4.0830119667634002E-2</v>
      </c>
      <c r="G9" s="2">
        <v>2.9817516797201099E-2</v>
      </c>
      <c r="H9" s="2">
        <v>3.9756689062934802E-4</v>
      </c>
      <c r="I9" s="2"/>
      <c r="J9" s="2"/>
      <c r="K9" s="2"/>
      <c r="L9" s="2"/>
      <c r="M9" s="2"/>
      <c r="N9" s="2"/>
    </row>
    <row r="10" spans="1:15" x14ac:dyDescent="0.25">
      <c r="A10" s="1">
        <v>44185</v>
      </c>
      <c r="B10" s="2">
        <v>0.36870443073471598</v>
      </c>
      <c r="C10" s="2">
        <v>5.38418395961862E-2</v>
      </c>
      <c r="D10" s="2">
        <v>2.0919798093101499E-2</v>
      </c>
      <c r="E10" s="2">
        <v>2.3275378575434599E-2</v>
      </c>
      <c r="F10" s="2">
        <v>1.80033651149747E-2</v>
      </c>
      <c r="G10" s="2">
        <v>8.0762759394279304E-3</v>
      </c>
      <c r="H10" s="2"/>
      <c r="I10" s="2"/>
      <c r="J10" s="2"/>
      <c r="K10" s="2"/>
      <c r="L10" s="2"/>
      <c r="M10" s="2"/>
      <c r="N10" s="2"/>
    </row>
    <row r="11" spans="1:15" x14ac:dyDescent="0.25">
      <c r="A11" s="1">
        <v>44192</v>
      </c>
      <c r="B11" s="2">
        <v>0.33907733236592202</v>
      </c>
      <c r="C11" s="2">
        <v>5.0849507225346098E-2</v>
      </c>
      <c r="D11" s="2">
        <v>4.5347360783602299E-3</v>
      </c>
      <c r="E11" s="2">
        <v>2.03760807787653E-2</v>
      </c>
      <c r="F11" s="2">
        <v>5.9858516234355102E-3</v>
      </c>
      <c r="G11" s="2"/>
      <c r="H11" s="2"/>
      <c r="I11" s="2"/>
      <c r="J11" s="2"/>
      <c r="K11" s="2"/>
      <c r="L11" s="2"/>
      <c r="M11" s="2"/>
      <c r="N11" s="2"/>
    </row>
    <row r="12" spans="1:15" x14ac:dyDescent="0.25">
      <c r="A12" s="1">
        <v>44199</v>
      </c>
      <c r="B12" s="2">
        <v>0.22837446210591</v>
      </c>
      <c r="C12" s="2">
        <v>6.42838324405023E-2</v>
      </c>
      <c r="D12" s="2">
        <v>2.73996662861157E-2</v>
      </c>
      <c r="E12" s="2">
        <v>4.7422499341354101E-3</v>
      </c>
      <c r="F12" s="2"/>
      <c r="G12" s="2"/>
      <c r="H12" s="2"/>
      <c r="I12" s="2"/>
      <c r="J12" s="2"/>
      <c r="K12" s="2"/>
      <c r="L12" s="2"/>
      <c r="M12" s="2"/>
      <c r="N12" s="2"/>
    </row>
    <row r="13" spans="1:15" x14ac:dyDescent="0.25">
      <c r="A13" s="1">
        <v>44206</v>
      </c>
      <c r="B13" s="2">
        <v>0.39940331903785098</v>
      </c>
      <c r="C13" s="2">
        <v>5.8502703710609699E-2</v>
      </c>
      <c r="D13" s="2">
        <v>1.2446391944806999E-2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5" x14ac:dyDescent="0.25">
      <c r="A14" s="1">
        <v>44213</v>
      </c>
      <c r="B14" s="2">
        <v>0.90318544894620301</v>
      </c>
      <c r="C14" s="2">
        <v>0.12202867866422799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5" x14ac:dyDescent="0.25">
      <c r="A15" s="1">
        <v>44220</v>
      </c>
      <c r="B15" s="2">
        <v>0.19212678936605301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5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5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5" x14ac:dyDescent="0.25">
      <c r="A18" s="4" t="s">
        <v>15</v>
      </c>
      <c r="B18" s="2">
        <f>AVERAGE(Table1[Week0])</f>
        <v>0.85538572926058221</v>
      </c>
      <c r="C18" s="2">
        <f>AVERAGE(Table1[Week1])</f>
        <v>0.19920886155370501</v>
      </c>
      <c r="D18" s="2">
        <f>AVERAGE(Table1[Week2])</f>
        <v>0.12934478413220751</v>
      </c>
      <c r="E18" s="2">
        <f>AVERAGE(Table1[Week3])</f>
        <v>9.9901028239056527E-2</v>
      </c>
      <c r="F18" s="2">
        <f>AVERAGE(Table1[Week4])</f>
        <v>8.2070172711246669E-2</v>
      </c>
      <c r="G18" s="2">
        <f>AVERAGE(Table1[Week5])</f>
        <v>4.7938755992873991E-2</v>
      </c>
      <c r="H18" s="2">
        <f>AVERAGE(Table1[Week6])</f>
        <v>3.8683879030574179E-2</v>
      </c>
      <c r="I18" s="2">
        <f>AVERAGE(Table1[Week7])</f>
        <v>2.3525857174492727E-2</v>
      </c>
      <c r="J18" s="2">
        <f>AVERAGE(Table1[Week8])</f>
        <v>1.7191660826062351E-2</v>
      </c>
      <c r="K18" s="2">
        <f>AVERAGE(Table1[Week9])</f>
        <v>8.9495320096814514E-3</v>
      </c>
      <c r="L18" s="2">
        <f>AVERAGE(Table1[Week10])</f>
        <v>2.1024049481292564E-2</v>
      </c>
      <c r="M18" s="2">
        <f>AVERAGE(Table1[Week11])</f>
        <v>1.7728379649578498E-2</v>
      </c>
      <c r="N18" s="2">
        <f>AVERAGE(Table1[Week12])</f>
        <v>1.81791015041338E-2</v>
      </c>
      <c r="O18" s="2"/>
    </row>
    <row r="22" spans="1:15" x14ac:dyDescent="0.25">
      <c r="A22" s="5" t="s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5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 t="s">
        <v>9</v>
      </c>
      <c r="K23" s="4" t="s">
        <v>10</v>
      </c>
      <c r="L23" s="4" t="s">
        <v>11</v>
      </c>
      <c r="M23" s="4" t="s">
        <v>12</v>
      </c>
      <c r="N23" s="4" t="s">
        <v>13</v>
      </c>
    </row>
    <row r="24" spans="1:15" x14ac:dyDescent="0.25">
      <c r="A24" s="1">
        <v>44136</v>
      </c>
      <c r="B24" s="2">
        <v>0.93799183185576196</v>
      </c>
      <c r="C24" s="2">
        <f t="shared" ref="C24:N24" si="0">B24+C3</f>
        <v>1.2643689610518969</v>
      </c>
      <c r="D24" s="2">
        <f t="shared" si="0"/>
        <v>1.531576850283892</v>
      </c>
      <c r="E24" s="2">
        <f t="shared" si="0"/>
        <v>1.7933061061858739</v>
      </c>
      <c r="F24" s="2">
        <f t="shared" si="0"/>
        <v>1.9531825879071609</v>
      </c>
      <c r="G24" s="2">
        <f t="shared" si="0"/>
        <v>2.1063850981173409</v>
      </c>
      <c r="H24" s="2">
        <f t="shared" si="0"/>
        <v>2.2716904074110951</v>
      </c>
      <c r="I24" s="2">
        <f t="shared" si="0"/>
        <v>2.2966928976989722</v>
      </c>
      <c r="J24" s="2">
        <f t="shared" si="0"/>
        <v>2.3045124016336271</v>
      </c>
      <c r="K24" s="2">
        <f t="shared" si="0"/>
        <v>2.3183085964737504</v>
      </c>
      <c r="L24" s="2">
        <f t="shared" si="0"/>
        <v>2.3414682737324415</v>
      </c>
      <c r="M24" s="2">
        <f t="shared" si="0"/>
        <v>2.3564100009961129</v>
      </c>
      <c r="N24" s="2">
        <f t="shared" si="0"/>
        <v>2.3745891025002468</v>
      </c>
    </row>
    <row r="25" spans="1:15" x14ac:dyDescent="0.25">
      <c r="A25" s="1">
        <v>44143</v>
      </c>
      <c r="B25" s="2">
        <v>1.1919664859536701</v>
      </c>
      <c r="C25" s="2">
        <f t="shared" ref="C25:M25" si="1">B25+C4</f>
        <v>1.5732503696402151</v>
      </c>
      <c r="D25" s="2">
        <f t="shared" si="1"/>
        <v>1.8544849679645121</v>
      </c>
      <c r="E25" s="2">
        <f t="shared" si="1"/>
        <v>2.0837851158205982</v>
      </c>
      <c r="F25" s="2">
        <f t="shared" si="1"/>
        <v>2.3603376047313911</v>
      </c>
      <c r="G25" s="2">
        <f t="shared" si="1"/>
        <v>2.4648225726959052</v>
      </c>
      <c r="H25" s="2">
        <f t="shared" si="1"/>
        <v>2.5041892557910259</v>
      </c>
      <c r="I25" s="2">
        <f t="shared" si="1"/>
        <v>2.5735584031542591</v>
      </c>
      <c r="J25" s="2">
        <f t="shared" si="1"/>
        <v>2.5735584031542591</v>
      </c>
      <c r="K25" s="2">
        <f t="shared" si="1"/>
        <v>2.5855717102020659</v>
      </c>
      <c r="L25" s="2">
        <f t="shared" si="1"/>
        <v>2.6210571710202029</v>
      </c>
      <c r="M25" s="2">
        <f t="shared" si="1"/>
        <v>2.6415722030556883</v>
      </c>
      <c r="N25" s="2"/>
    </row>
    <row r="26" spans="1:15" x14ac:dyDescent="0.25">
      <c r="A26" s="1">
        <v>44150</v>
      </c>
      <c r="B26" s="2">
        <v>1.3817315774726799</v>
      </c>
      <c r="C26" s="2">
        <f t="shared" ref="C26:L26" si="2">B26+C5</f>
        <v>1.6785093863827378</v>
      </c>
      <c r="D26" s="2">
        <f t="shared" si="2"/>
        <v>1.8972261137573518</v>
      </c>
      <c r="E26" s="2">
        <f t="shared" si="2"/>
        <v>2.1247968618660646</v>
      </c>
      <c r="F26" s="2">
        <f t="shared" si="2"/>
        <v>2.2919024936957086</v>
      </c>
      <c r="G26" s="2">
        <f t="shared" si="2"/>
        <v>2.3175119080975017</v>
      </c>
      <c r="H26" s="2">
        <f t="shared" si="2"/>
        <v>2.3463154945362801</v>
      </c>
      <c r="I26" s="2">
        <f t="shared" si="2"/>
        <v>2.3683384701597041</v>
      </c>
      <c r="J26" s="2">
        <f t="shared" si="2"/>
        <v>2.3892967217707994</v>
      </c>
      <c r="K26" s="2">
        <f t="shared" si="2"/>
        <v>2.3955169515270338</v>
      </c>
      <c r="L26" s="2">
        <f t="shared" si="2"/>
        <v>2.3999439618940834</v>
      </c>
      <c r="M26" s="2"/>
      <c r="N26" s="2"/>
    </row>
    <row r="27" spans="1:15" x14ac:dyDescent="0.25">
      <c r="A27" s="1">
        <v>44157</v>
      </c>
      <c r="B27" s="2">
        <v>1.6472475429036999</v>
      </c>
      <c r="C27" s="2">
        <f t="shared" ref="C27:K27" si="3">B27+C6</f>
        <v>1.8831287874929949</v>
      </c>
      <c r="D27" s="2">
        <f t="shared" si="3"/>
        <v>2.1084687070326389</v>
      </c>
      <c r="E27" s="2">
        <f t="shared" si="3"/>
        <v>2.2278352090441471</v>
      </c>
      <c r="F27" s="2">
        <f t="shared" si="3"/>
        <v>2.2648571574069316</v>
      </c>
      <c r="G27" s="2">
        <f t="shared" si="3"/>
        <v>2.2780974690634981</v>
      </c>
      <c r="H27" s="2">
        <f t="shared" si="3"/>
        <v>2.2845139277893729</v>
      </c>
      <c r="I27" s="2">
        <f t="shared" si="3"/>
        <v>2.2951061771146262</v>
      </c>
      <c r="J27" s="2">
        <f t="shared" si="3"/>
        <v>2.3296837602485061</v>
      </c>
      <c r="K27" s="2">
        <f t="shared" si="3"/>
        <v>2.3334521566430673</v>
      </c>
      <c r="L27" s="2"/>
      <c r="M27" s="2"/>
      <c r="N27" s="2"/>
    </row>
    <row r="28" spans="1:15" x14ac:dyDescent="0.25">
      <c r="A28" s="1">
        <v>44164</v>
      </c>
      <c r="B28" s="2">
        <v>1.31940339229684</v>
      </c>
      <c r="C28" s="2">
        <f t="shared" ref="C28:J28" si="4">B28+C7</f>
        <v>1.6828247919603381</v>
      </c>
      <c r="D28" s="2">
        <f t="shared" si="4"/>
        <v>1.9261061343276702</v>
      </c>
      <c r="E28" s="2">
        <f t="shared" si="4"/>
        <v>1.974125778727652</v>
      </c>
      <c r="F28" s="2">
        <f t="shared" si="4"/>
        <v>1.9865399481606019</v>
      </c>
      <c r="G28" s="2">
        <f t="shared" si="4"/>
        <v>2.0086853712882449</v>
      </c>
      <c r="H28" s="2">
        <f t="shared" si="4"/>
        <v>2.0147787731344549</v>
      </c>
      <c r="I28" s="2">
        <f t="shared" si="4"/>
        <v>2.0267382110863443</v>
      </c>
      <c r="J28" s="2">
        <f t="shared" si="4"/>
        <v>2.0321495157109637</v>
      </c>
      <c r="K28" s="2"/>
      <c r="L28" s="2"/>
      <c r="M28" s="2"/>
      <c r="N28" s="2"/>
    </row>
    <row r="29" spans="1:15" x14ac:dyDescent="0.25">
      <c r="A29" s="1">
        <v>44171</v>
      </c>
      <c r="B29" s="2">
        <v>1.2025722327122399</v>
      </c>
      <c r="C29" s="2">
        <f t="shared" ref="C29:I29" si="5">B29+C8</f>
        <v>1.5320104029356179</v>
      </c>
      <c r="D29" s="2">
        <f t="shared" si="5"/>
        <v>1.6134881898179436</v>
      </c>
      <c r="E29" s="2">
        <f t="shared" si="5"/>
        <v>1.6479033809540724</v>
      </c>
      <c r="F29" s="2">
        <f t="shared" si="5"/>
        <v>1.66874487869179</v>
      </c>
      <c r="G29" s="2">
        <f t="shared" si="5"/>
        <v>1.695678506537456</v>
      </c>
      <c r="H29" s="2">
        <f t="shared" si="5"/>
        <v>1.7200826534611084</v>
      </c>
      <c r="I29" s="2">
        <f t="shared" si="5"/>
        <v>1.722291495956388</v>
      </c>
      <c r="J29" s="2"/>
      <c r="K29" s="2"/>
      <c r="L29" s="2"/>
      <c r="M29" s="2"/>
      <c r="N29" s="2"/>
    </row>
    <row r="30" spans="1:15" x14ac:dyDescent="0.25">
      <c r="A30" s="1">
        <v>44178</v>
      </c>
      <c r="B30" s="2">
        <v>1.00822963463602</v>
      </c>
      <c r="C30" s="2">
        <f t="shared" ref="C30:H30" si="6">B30+C9</f>
        <v>1.116049775374699</v>
      </c>
      <c r="D30" s="2">
        <f t="shared" si="6"/>
        <v>1.1562835447063891</v>
      </c>
      <c r="E30" s="2">
        <f t="shared" si="6"/>
        <v>1.1864986283942194</v>
      </c>
      <c r="F30" s="2">
        <f t="shared" si="6"/>
        <v>1.2273287480618533</v>
      </c>
      <c r="G30" s="2">
        <f t="shared" si="6"/>
        <v>1.2571462648590543</v>
      </c>
      <c r="H30" s="2">
        <f t="shared" si="6"/>
        <v>1.2575438317496836</v>
      </c>
      <c r="I30" s="2"/>
      <c r="J30" s="2"/>
      <c r="K30" s="2"/>
      <c r="L30" s="2"/>
      <c r="M30" s="2"/>
      <c r="N30" s="2"/>
    </row>
    <row r="31" spans="1:15" x14ac:dyDescent="0.25">
      <c r="A31" s="1">
        <v>44185</v>
      </c>
      <c r="B31" s="2">
        <v>0.36870443073471598</v>
      </c>
      <c r="C31" s="2">
        <f>B31+C10</f>
        <v>0.4225462703309022</v>
      </c>
      <c r="D31" s="2">
        <f>C31+D10</f>
        <v>0.44346606842400371</v>
      </c>
      <c r="E31" s="2">
        <f>D31+E10</f>
        <v>0.46674144699943831</v>
      </c>
      <c r="F31" s="2">
        <f>E31+F10</f>
        <v>0.484744812114413</v>
      </c>
      <c r="G31" s="2">
        <f>F31+G10</f>
        <v>0.49282108805384095</v>
      </c>
      <c r="H31" s="2"/>
      <c r="I31" s="2"/>
      <c r="J31" s="2"/>
      <c r="K31" s="2"/>
      <c r="L31" s="2"/>
      <c r="M31" s="2"/>
      <c r="N31" s="2"/>
    </row>
    <row r="32" spans="1:15" x14ac:dyDescent="0.25">
      <c r="A32" s="1">
        <v>44192</v>
      </c>
      <c r="B32" s="2">
        <v>0.33907733236592202</v>
      </c>
      <c r="C32" s="2">
        <f>B32+C11</f>
        <v>0.38992683959126812</v>
      </c>
      <c r="D32" s="2">
        <f>C32+D11</f>
        <v>0.39446157566962836</v>
      </c>
      <c r="E32" s="2">
        <f>D32+E11</f>
        <v>0.41483765644839365</v>
      </c>
      <c r="F32" s="2">
        <f>E32+F11</f>
        <v>0.42082350807182917</v>
      </c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1">
        <v>44199</v>
      </c>
      <c r="B33" s="2">
        <v>0.22837446210591</v>
      </c>
      <c r="C33" s="2">
        <f>B33+C12</f>
        <v>0.29265829454641229</v>
      </c>
      <c r="D33" s="2">
        <f>C33+D12</f>
        <v>0.32005796083252797</v>
      </c>
      <c r="E33" s="2">
        <f>D33+E12</f>
        <v>0.32480021076666338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1">
        <v>44206</v>
      </c>
      <c r="B34" s="2">
        <v>0.39940331903785098</v>
      </c>
      <c r="C34" s="2">
        <f>B34+C13</f>
        <v>0.45790602274846071</v>
      </c>
      <c r="D34" s="2">
        <f>C34+D13</f>
        <v>0.47035241469326772</v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1">
        <v>44213</v>
      </c>
      <c r="B35" s="2">
        <v>0.90318544894620301</v>
      </c>
      <c r="C35" s="2">
        <f>B35+C14</f>
        <v>1.025214127610431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1">
        <v>44220</v>
      </c>
      <c r="B36" s="2">
        <v>0.19212678936605301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4" t="s">
        <v>14</v>
      </c>
      <c r="B37" s="2">
        <f>AVERAGE(B24:B36)</f>
        <v>0.85538572926058221</v>
      </c>
      <c r="C37" s="2">
        <f>SUM(B18:C18)</f>
        <v>1.0545945908142873</v>
      </c>
      <c r="D37" s="2">
        <f>SUM(B18:D18)</f>
        <v>1.1839393749464948</v>
      </c>
      <c r="E37" s="2">
        <f>SUM(B18:E18)</f>
        <v>1.2838404031855513</v>
      </c>
      <c r="F37" s="2">
        <f>SUM(B18:F18)</f>
        <v>1.365910575896798</v>
      </c>
      <c r="G37" s="2">
        <f>SUM(B18:G18)</f>
        <v>1.4138493318896719</v>
      </c>
      <c r="H37" s="2">
        <f>SUM(B18:H18)</f>
        <v>1.452533210920246</v>
      </c>
      <c r="I37" s="2">
        <f>SUM(B18:I18)</f>
        <v>1.4760590680947387</v>
      </c>
      <c r="J37" s="2">
        <f>SUM(B18:J18)</f>
        <v>1.493250728920801</v>
      </c>
      <c r="K37" s="2">
        <f>SUM(B18:K18)</f>
        <v>1.5022002609304825</v>
      </c>
      <c r="L37" s="2">
        <f>SUM(B18:L18)</f>
        <v>1.5232243104117751</v>
      </c>
      <c r="M37" s="2">
        <f>SUM(B18:M18)</f>
        <v>1.5409526900613535</v>
      </c>
      <c r="N37" s="2">
        <f>SUM(B18:N18)</f>
        <v>1.5591317915654872</v>
      </c>
    </row>
    <row r="38" spans="1:14" x14ac:dyDescent="0.25">
      <c r="A38" s="4" t="s">
        <v>16</v>
      </c>
      <c r="C38" s="3">
        <f>(C37-B37)/B37</f>
        <v>0.23288775430694458</v>
      </c>
      <c r="D38" s="3">
        <f t="shared" ref="D38:G38" si="7">(D37-C37)/C37</f>
        <v>0.12264882188740996</v>
      </c>
      <c r="E38" s="3">
        <f t="shared" si="7"/>
        <v>8.4380189013961313E-2</v>
      </c>
      <c r="F38" s="3">
        <f t="shared" si="7"/>
        <v>6.3925525717689433E-2</v>
      </c>
      <c r="G38" s="3">
        <f t="shared" si="7"/>
        <v>3.5096555249526033E-2</v>
      </c>
      <c r="H38" s="3">
        <f t="shared" ref="H38" si="8">(H37-G37)/G37</f>
        <v>2.7360679923985554E-2</v>
      </c>
      <c r="I38" s="3">
        <f t="shared" ref="I38" si="9">(I37-H37)/H37</f>
        <v>1.6196433236516521E-2</v>
      </c>
      <c r="J38" s="3">
        <f t="shared" ref="J38:K38" si="10">(J37-I37)/I37</f>
        <v>1.1647000582607342E-2</v>
      </c>
      <c r="K38" s="3">
        <f t="shared" si="10"/>
        <v>5.993321708370772E-3</v>
      </c>
      <c r="L38" s="3">
        <f>(L37-K37)/K37</f>
        <v>1.3995503814032077E-2</v>
      </c>
      <c r="M38" s="3">
        <f t="shared" ref="M38" si="11">(M37-L37)/L37</f>
        <v>1.1638718951896108E-2</v>
      </c>
      <c r="N38" s="3">
        <f t="shared" ref="N38" si="12">(N37-M37)/M37</f>
        <v>1.179731319552056E-2</v>
      </c>
    </row>
    <row r="42" spans="1:14" x14ac:dyDescent="0.25">
      <c r="A42" s="5" t="s">
        <v>19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25">
      <c r="A43" s="4" t="s">
        <v>0</v>
      </c>
      <c r="B43" s="4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10</v>
      </c>
      <c r="L43" s="4" t="s">
        <v>11</v>
      </c>
      <c r="M43" s="4" t="s">
        <v>12</v>
      </c>
      <c r="N43" s="4" t="s">
        <v>13</v>
      </c>
    </row>
    <row r="44" spans="1:14" x14ac:dyDescent="0.25">
      <c r="A44" s="1">
        <v>44136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>N24</f>
        <v>2.3745891025002468</v>
      </c>
    </row>
    <row r="45" spans="1:14" x14ac:dyDescent="0.25">
      <c r="A45" s="1">
        <v>44143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>
        <f>M25</f>
        <v>2.6415722030556883</v>
      </c>
      <c r="N45" s="2">
        <f>M45*(1+N38)</f>
        <v>2.6727356576637171</v>
      </c>
    </row>
    <row r="46" spans="1:14" x14ac:dyDescent="0.25">
      <c r="A46" s="1">
        <v>44150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>
        <f>L26</f>
        <v>2.3999439618940834</v>
      </c>
      <c r="M46" s="2">
        <f>L46*(1+M38)</f>
        <v>2.4278762351668686</v>
      </c>
      <c r="N46" s="2">
        <f>M46*(1+N38)</f>
        <v>2.4565186515130932</v>
      </c>
    </row>
    <row r="47" spans="1:14" x14ac:dyDescent="0.25">
      <c r="A47" s="1">
        <v>44157</v>
      </c>
      <c r="B47" s="2"/>
      <c r="C47" s="2"/>
      <c r="D47" s="2"/>
      <c r="E47" s="2"/>
      <c r="F47" s="2"/>
      <c r="G47" s="2"/>
      <c r="H47" s="2"/>
      <c r="I47" s="2"/>
      <c r="J47" s="2"/>
      <c r="K47" s="2">
        <f>K27</f>
        <v>2.3334521566430673</v>
      </c>
      <c r="L47" s="2">
        <f>K47*(1+L38)</f>
        <v>2.3661099952012266</v>
      </c>
      <c r="M47" s="2">
        <f t="shared" ref="M47:N47" si="13">L47*(1+M38)</f>
        <v>2.393648484444646</v>
      </c>
      <c r="N47" s="2">
        <f t="shared" si="13"/>
        <v>2.4218871052956223</v>
      </c>
    </row>
    <row r="48" spans="1:14" x14ac:dyDescent="0.25">
      <c r="A48" s="1">
        <v>44164</v>
      </c>
      <c r="B48" s="2"/>
      <c r="C48" s="2"/>
      <c r="D48" s="2"/>
      <c r="E48" s="2"/>
      <c r="F48" s="2"/>
      <c r="G48" s="2"/>
      <c r="H48" s="2"/>
      <c r="I48" s="2"/>
      <c r="J48" s="2">
        <f>J28</f>
        <v>2.0321495157109637</v>
      </c>
      <c r="K48" s="2">
        <f>J48*(1+K38)</f>
        <v>2.0443288415181291</v>
      </c>
      <c r="L48" s="2">
        <f t="shared" ref="L48:N48" si="14">K48*(1+L38)</f>
        <v>2.0729402536167316</v>
      </c>
      <c r="M48" s="2">
        <f t="shared" si="14"/>
        <v>2.0970666226326489</v>
      </c>
      <c r="N48" s="2">
        <f t="shared" si="14"/>
        <v>2.1218063743717184</v>
      </c>
    </row>
    <row r="49" spans="1:14" x14ac:dyDescent="0.25">
      <c r="A49" s="1">
        <v>44171</v>
      </c>
      <c r="B49" s="2"/>
      <c r="C49" s="2"/>
      <c r="D49" s="2"/>
      <c r="E49" s="2"/>
      <c r="F49" s="2"/>
      <c r="G49" s="2"/>
      <c r="H49" s="2"/>
      <c r="I49" s="2">
        <f>I29</f>
        <v>1.722291495956388</v>
      </c>
      <c r="J49" s="2">
        <f>I49*(1+J38)</f>
        <v>1.7423510260132116</v>
      </c>
      <c r="K49" s="2">
        <f>J49*(1+K38)</f>
        <v>1.7527934962410185</v>
      </c>
      <c r="L49" s="2">
        <f t="shared" ref="L49:N49" si="15">K49*(1+L38)</f>
        <v>1.7773247243028703</v>
      </c>
      <c r="M49" s="2">
        <f t="shared" si="15"/>
        <v>1.7980105072552874</v>
      </c>
      <c r="N49" s="2">
        <f t="shared" si="15"/>
        <v>1.8192222003382146</v>
      </c>
    </row>
    <row r="50" spans="1:14" x14ac:dyDescent="0.25">
      <c r="A50" s="1">
        <v>44178</v>
      </c>
      <c r="B50" s="2"/>
      <c r="C50" s="2"/>
      <c r="D50" s="2"/>
      <c r="E50" s="2"/>
      <c r="F50" s="2"/>
      <c r="G50" s="2"/>
      <c r="H50" s="2">
        <f>H30</f>
        <v>1.2575438317496836</v>
      </c>
      <c r="I50" s="2">
        <f>H50*(1+I38)</f>
        <v>1.2779115564626107</v>
      </c>
      <c r="J50" s="2">
        <f t="shared" ref="J50:M50" si="16">I50*(1+J38)</f>
        <v>1.2927953931052512</v>
      </c>
      <c r="K50" s="2">
        <f t="shared" si="16"/>
        <v>1.3005435317992307</v>
      </c>
      <c r="L50" s="2">
        <f>K50*(1+L38)</f>
        <v>1.3187452937588415</v>
      </c>
      <c r="M50" s="2">
        <f t="shared" si="16"/>
        <v>1.3340937996020363</v>
      </c>
      <c r="N50" s="2">
        <f>M50*(1+N38)</f>
        <v>1.3498325219881435</v>
      </c>
    </row>
    <row r="51" spans="1:14" x14ac:dyDescent="0.25">
      <c r="A51" s="1">
        <v>44185</v>
      </c>
      <c r="B51" s="2"/>
      <c r="C51" s="2"/>
      <c r="D51" s="2"/>
      <c r="E51" s="2"/>
      <c r="F51" s="2"/>
      <c r="G51" s="2">
        <f>G31</f>
        <v>0.49282108805384095</v>
      </c>
      <c r="H51" s="2">
        <f>G51*(1+H38)</f>
        <v>0.50630500810387247</v>
      </c>
      <c r="I51" s="2">
        <f t="shared" ref="I51:N51" si="17">H51*(1+I38)</f>
        <v>0.5145053433649408</v>
      </c>
      <c r="J51" s="2">
        <f t="shared" si="17"/>
        <v>0.52049778739886676</v>
      </c>
      <c r="K51" s="2">
        <f t="shared" si="17"/>
        <v>0.52361729808724333</v>
      </c>
      <c r="L51" s="2">
        <f t="shared" si="17"/>
        <v>0.53094558597971653</v>
      </c>
      <c r="M51" s="2">
        <f t="shared" si="17"/>
        <v>0.53712511243368422</v>
      </c>
      <c r="N51" s="2">
        <f t="shared" si="17"/>
        <v>0.54346174561024352</v>
      </c>
    </row>
    <row r="52" spans="1:14" x14ac:dyDescent="0.25">
      <c r="A52" s="1">
        <v>44192</v>
      </c>
      <c r="B52" s="2"/>
      <c r="C52" s="2"/>
      <c r="D52" s="2"/>
      <c r="E52" s="2"/>
      <c r="F52" s="2">
        <f>F32</f>
        <v>0.42082350807182917</v>
      </c>
      <c r="G52" s="2">
        <f>F52*(1+G38)</f>
        <v>0.43559296357317145</v>
      </c>
      <c r="H52" s="2">
        <f t="shared" ref="H52:N52" si="18">G52*(1+H38)</f>
        <v>0.4475110832266373</v>
      </c>
      <c r="I52" s="2">
        <f t="shared" si="18"/>
        <v>0.45475916660871873</v>
      </c>
      <c r="J52" s="2">
        <f t="shared" si="18"/>
        <v>0.46005574688715645</v>
      </c>
      <c r="K52" s="2">
        <f t="shared" si="18"/>
        <v>0.46281300898203598</v>
      </c>
      <c r="L52" s="2">
        <f t="shared" si="18"/>
        <v>0.46929031021442769</v>
      </c>
      <c r="M52" s="2">
        <f t="shared" si="18"/>
        <v>0.47475224824186152</v>
      </c>
      <c r="N52" s="2">
        <f t="shared" si="18"/>
        <v>0.48035304920464822</v>
      </c>
    </row>
    <row r="53" spans="1:14" x14ac:dyDescent="0.25">
      <c r="A53" s="1">
        <v>44199</v>
      </c>
      <c r="B53" s="2"/>
      <c r="C53" s="2"/>
      <c r="D53" s="2"/>
      <c r="E53" s="2">
        <f>E33</f>
        <v>0.32480021076666338</v>
      </c>
      <c r="F53" s="2">
        <f>E53*(1+F38)</f>
        <v>0.34556323499313868</v>
      </c>
      <c r="G53" s="2">
        <f t="shared" ref="G53:N53" si="19">F53*(1+G38)</f>
        <v>0.35769131416228028</v>
      </c>
      <c r="H53" s="2">
        <f t="shared" si="19"/>
        <v>0.3674779917206642</v>
      </c>
      <c r="I53" s="2">
        <f t="shared" si="19"/>
        <v>0.37342982447945711</v>
      </c>
      <c r="J53" s="2">
        <f t="shared" si="19"/>
        <v>0.37777916186273225</v>
      </c>
      <c r="K53" s="2">
        <f t="shared" si="19"/>
        <v>0.38004331391449425</v>
      </c>
      <c r="L53" s="2">
        <f t="shared" si="19"/>
        <v>0.38536221156388195</v>
      </c>
      <c r="M53" s="2">
        <f t="shared" si="19"/>
        <v>0.38984733403895511</v>
      </c>
      <c r="N53" s="2">
        <f t="shared" si="19"/>
        <v>0.39444648513705133</v>
      </c>
    </row>
    <row r="54" spans="1:14" x14ac:dyDescent="0.25">
      <c r="A54" s="1">
        <v>44206</v>
      </c>
      <c r="B54" s="2"/>
      <c r="C54" s="2"/>
      <c r="D54" s="2">
        <f>D34</f>
        <v>0.47035241469326772</v>
      </c>
      <c r="E54" s="2">
        <f>D54*(1+E38)</f>
        <v>0.51004084034825869</v>
      </c>
      <c r="F54" s="2">
        <f t="shared" ref="F54:N54" si="20">E54*(1+F38)</f>
        <v>0.54264546920501322</v>
      </c>
      <c r="G54" s="2">
        <f t="shared" si="20"/>
        <v>0.56169045589587185</v>
      </c>
      <c r="H54" s="2">
        <f t="shared" si="20"/>
        <v>0.57705868867599641</v>
      </c>
      <c r="I54" s="2">
        <f t="shared" si="20"/>
        <v>0.58640498120068896</v>
      </c>
      <c r="J54" s="2">
        <f t="shared" si="20"/>
        <v>0.59323484035837715</v>
      </c>
      <c r="K54" s="2">
        <f t="shared" si="20"/>
        <v>0.59679028760525887</v>
      </c>
      <c r="L54" s="2">
        <f t="shared" si="20"/>
        <v>0.60514266835161556</v>
      </c>
      <c r="M54" s="2">
        <f t="shared" si="20"/>
        <v>0.61218575379436047</v>
      </c>
      <c r="N54" s="2">
        <f t="shared" si="20"/>
        <v>0.61940790086570829</v>
      </c>
    </row>
    <row r="55" spans="1:14" x14ac:dyDescent="0.25">
      <c r="A55" s="1">
        <v>44213</v>
      </c>
      <c r="B55" s="2"/>
      <c r="C55" s="2">
        <f>C35</f>
        <v>1.025214127610431</v>
      </c>
      <c r="D55" s="2">
        <f>C55*(1+D38)</f>
        <v>1.1509554325441791</v>
      </c>
      <c r="E55" s="2">
        <f t="shared" ref="E55:N55" si="21">D55*(1+E38)</f>
        <v>1.2480732694889025</v>
      </c>
      <c r="F55" s="2">
        <f t="shared" si="21"/>
        <v>1.327857009375176</v>
      </c>
      <c r="G55" s="2">
        <f t="shared" si="21"/>
        <v>1.3744602162681823</v>
      </c>
      <c r="H55" s="2">
        <f t="shared" si="21"/>
        <v>1.412066382313748</v>
      </c>
      <c r="I55" s="2">
        <f t="shared" si="21"/>
        <v>1.4349368212004221</v>
      </c>
      <c r="J55" s="2">
        <f t="shared" si="21"/>
        <v>1.451649531192948</v>
      </c>
      <c r="K55" s="2">
        <f t="shared" si="21"/>
        <v>1.460349733841193</v>
      </c>
      <c r="L55" s="2">
        <f t="shared" si="21"/>
        <v>1.4807880641109881</v>
      </c>
      <c r="M55" s="2">
        <f t="shared" si="21"/>
        <v>1.4980225402164982</v>
      </c>
      <c r="N55" s="2">
        <f t="shared" si="21"/>
        <v>1.5156951812973813</v>
      </c>
    </row>
    <row r="56" spans="1:14" x14ac:dyDescent="0.25">
      <c r="A56" s="1">
        <v>44220</v>
      </c>
      <c r="B56" s="2">
        <v>0.19212678936605301</v>
      </c>
      <c r="C56" s="2">
        <f>B56*(1+C38)</f>
        <v>0.23687076588371644</v>
      </c>
      <c r="D56" s="2">
        <f t="shared" ref="D56:N56" si="22">C56*(1+D38)</f>
        <v>0.26592268625892279</v>
      </c>
      <c r="E56" s="2">
        <f t="shared" si="22"/>
        <v>0.28836129278855099</v>
      </c>
      <c r="F56" s="2">
        <f t="shared" si="22"/>
        <v>0.30679494002669166</v>
      </c>
      <c r="G56" s="2">
        <f t="shared" si="22"/>
        <v>0.31756238558961342</v>
      </c>
      <c r="H56" s="2">
        <f t="shared" si="22"/>
        <v>0.32625110837762811</v>
      </c>
      <c r="I56" s="2">
        <f t="shared" si="22"/>
        <v>0.33153521267280589</v>
      </c>
      <c r="J56" s="2">
        <f t="shared" si="22"/>
        <v>0.33539660348796091</v>
      </c>
      <c r="K56" s="2">
        <f t="shared" si="22"/>
        <v>0.33740674323255915</v>
      </c>
      <c r="L56" s="2">
        <f t="shared" si="22"/>
        <v>0.34212892059435057</v>
      </c>
      <c r="M56" s="2">
        <f t="shared" si="22"/>
        <v>0.34611086294646376</v>
      </c>
      <c r="N56" s="2">
        <f t="shared" si="22"/>
        <v>0.35019404119701503</v>
      </c>
    </row>
    <row r="57" spans="1:14" ht="24" customHeight="1" x14ac:dyDescent="0.25">
      <c r="M57" s="4" t="s">
        <v>20</v>
      </c>
      <c r="N57" s="2">
        <f>AVERAGE(N44:N56)</f>
        <v>1.4707807705371392</v>
      </c>
    </row>
  </sheetData>
  <mergeCells count="3">
    <mergeCell ref="A1:O1"/>
    <mergeCell ref="A22:N22"/>
    <mergeCell ref="A42:N42"/>
  </mergeCells>
  <conditionalFormatting sqref="A3:N18">
    <cfRule type="colorScale" priority="9">
      <colorScale>
        <cfvo type="min"/>
        <cfvo type="max"/>
        <color rgb="FFFCFCFF"/>
        <color rgb="FF63BE7B"/>
      </colorScale>
    </cfRule>
  </conditionalFormatting>
  <conditionalFormatting sqref="B45:M56">
    <cfRule type="colorScale" priority="2">
      <colorScale>
        <cfvo type="min"/>
        <cfvo type="max"/>
        <color theme="6" tint="-0.249977111117893"/>
        <color theme="6" tint="0.39997558519241921"/>
      </colorScale>
    </cfRule>
  </conditionalFormatting>
  <conditionalFormatting sqref="B3:N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max"/>
        <color rgb="FFC00000"/>
        <color rgb="FF00B050"/>
      </colorScale>
    </cfRule>
  </conditionalFormatting>
  <conditionalFormatting sqref="N44:N5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N3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K49 L49:N49" formula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OLAMIDE OLUWADARA</cp:lastModifiedBy>
  <dcterms:created xsi:type="dcterms:W3CDTF">2024-11-10T01:32:20Z</dcterms:created>
  <dcterms:modified xsi:type="dcterms:W3CDTF">2024-11-12T06:43:45Z</dcterms:modified>
</cp:coreProperties>
</file>